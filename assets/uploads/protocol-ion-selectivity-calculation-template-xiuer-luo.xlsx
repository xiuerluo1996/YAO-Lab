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M Group\Experimental Data-TC Toxin\Ion selectivity data\"/>
    </mc:Choice>
  </mc:AlternateContent>
  <xr:revisionPtr revIDLastSave="0" documentId="8_{CDDD255C-354A-46DB-A57B-6053102CF4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1" l="1"/>
  <c r="C17" i="1" l="1"/>
</calcChain>
</file>

<file path=xl/sharedStrings.xml><?xml version="1.0" encoding="utf-8"?>
<sst xmlns="http://schemas.openxmlformats.org/spreadsheetml/2006/main" count="24" uniqueCount="21">
  <si>
    <t>A(Cl),trans</t>
  </si>
  <si>
    <t>A(Cl),cis</t>
  </si>
  <si>
    <t>Conc(trans)</t>
  </si>
  <si>
    <t>Conc(cis)</t>
  </si>
  <si>
    <t>F</t>
  </si>
  <si>
    <t>R</t>
  </si>
  <si>
    <t>T</t>
  </si>
  <si>
    <t>Voltage</t>
  </si>
  <si>
    <t>exp</t>
  </si>
  <si>
    <t>P(K)/P(Cl)</t>
  </si>
  <si>
    <t>M</t>
  </si>
  <si>
    <t>C/mol</t>
  </si>
  <si>
    <t>J/K/mol</t>
  </si>
  <si>
    <t>K</t>
  </si>
  <si>
    <t>mV</t>
  </si>
  <si>
    <t xml:space="preserve">Mean activity coefficients </t>
  </si>
  <si>
    <t>Salt concentrations under assymetric conditions</t>
  </si>
  <si>
    <t>Constants</t>
  </si>
  <si>
    <t>Value</t>
  </si>
  <si>
    <t>Units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</si>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</sst>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4" fontId="0" fillId="3" borderId="1" xfId="0" applyNumberFormat="1" applyFill="1" applyBorder="1"/>
    <xf numFmtId="0" fontId="0" fillId="0" borderId="1" xfId="0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7"/>
  <sheetViews>
    <sheetView tabSelected="1" workbookViewId="0">
      <selection activeCell="C12" sqref="C12"/>
    </sheetView>
  </sheetViews>
  <sheetFormatPr defaultRowHeight="13.9" x14ac:dyDescent="0.4"/>
  <cols>
    <col min="2" max="2" width="22.53125" customWidth="1"/>
    <col min="5" max="5" width="44.46484375" customWidth="1"/>
    <col min="10" max="10" width="9.796875" customWidth="1"/>
  </cols>
  <sheetData>
    <row r="3" spans="2:12" x14ac:dyDescent="0.4">
      <c r="B3" s="2" t="s">
        <v>15</v>
      </c>
      <c r="C3" s="4" t="s">
        <v>18</v>
      </c>
      <c r="E3" s="2" t="s">
        <v>16</v>
      </c>
      <c r="F3" s="4" t="s">
        <v>18</v>
      </c>
      <c r="G3" s="4" t="s">
        <v>20</v>
      </c>
      <c r="J3" s="2" t="s">
        <v>17</v>
      </c>
      <c r="K3" s="4" t="s">
        <v>18</v>
      </c>
      <c r="L3" s="4" t="s">
        <v>19</v>
      </c>
    </row>
    <row r="4" spans="2:12" x14ac:dyDescent="0.4">
      <c r="B4" s="2" t="s">
        <v>0</v>
      </c>
      <c r="C4" s="2">
        <v>0.64900000000000002</v>
      </c>
      <c r="E4" s="2" t="s">
        <v>2</v>
      </c>
      <c r="F4" s="2">
        <v>0.5</v>
      </c>
      <c r="G4" s="2" t="s">
        <v>10</v>
      </c>
      <c r="J4" s="2" t="s">
        <v>4</v>
      </c>
      <c r="K4" s="2">
        <v>96485</v>
      </c>
      <c r="L4" s="2" t="s">
        <v>11</v>
      </c>
    </row>
    <row r="5" spans="2:12" x14ac:dyDescent="0.4">
      <c r="B5" s="2" t="s">
        <v>1</v>
      </c>
      <c r="C5" s="2">
        <v>0.57299999999999995</v>
      </c>
      <c r="E5" s="2" t="s">
        <v>3</v>
      </c>
      <c r="F5" s="2">
        <v>2</v>
      </c>
      <c r="G5" s="2" t="s">
        <v>10</v>
      </c>
      <c r="J5" s="2" t="s">
        <v>5</v>
      </c>
      <c r="K5" s="2">
        <v>8.1300000000000008</v>
      </c>
      <c r="L5" s="2" t="s">
        <v>12</v>
      </c>
    </row>
    <row r="6" spans="2:12" x14ac:dyDescent="0.4">
      <c r="J6" s="2" t="s">
        <v>6</v>
      </c>
      <c r="K6" s="2">
        <v>298</v>
      </c>
      <c r="L6" s="2" t="s">
        <v>13</v>
      </c>
    </row>
    <row r="11" spans="2:12" x14ac:dyDescent="0.4">
      <c r="B11" s="2" t="s">
        <v>7</v>
      </c>
      <c r="C11" s="3">
        <v>8.80701</v>
      </c>
      <c r="D11" t="s">
        <v>14</v>
      </c>
    </row>
    <row r="15" spans="2:12" x14ac:dyDescent="0.4">
      <c r="B15" t="s">
        <v>8</v>
      </c>
      <c r="C15">
        <f>EXP(((C11/1000)*K4)/(K5*K6))</f>
        <v>1.4201136699114758</v>
      </c>
    </row>
    <row r="17" spans="2:3" x14ac:dyDescent="0.4">
      <c r="B17" s="2" t="s">
        <v>9</v>
      </c>
      <c r="C17" s="1">
        <f>((C4*F4)-(C5*F5*C15))/((C4*F4*C15)-(C5*F5))</f>
        <v>1.9016365920953016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</dc:creator>
  <cp:lastModifiedBy>LUO, Xiuer [Student]</cp:lastModifiedBy>
  <dcterms:created xsi:type="dcterms:W3CDTF">2021-02-11T13:46:22Z</dcterms:created>
  <dcterms:modified xsi:type="dcterms:W3CDTF">2026-04-30T01:58:10Z</dcterms:modified>
</cp:coreProperties>
</file>